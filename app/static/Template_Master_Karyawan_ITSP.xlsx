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e" sheetId="1" state="visible" r:id="rId1"/>
    <sheet name="Employ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5"/>
  <sheetViews>
    <sheetView workbookViewId="0">
      <selection activeCell="A1" sqref="A1"/>
    </sheetView>
  </sheetViews>
  <sheetFormatPr baseColWidth="8" defaultRowHeight="15"/>
  <sheetData>
    <row r="1">
      <c r="O1" t="inlineStr">
        <is>
          <t>Contract1</t>
        </is>
      </c>
      <c r="Q1" t="inlineStr">
        <is>
          <t>Contract2</t>
        </is>
      </c>
      <c r="S1" t="inlineStr">
        <is>
          <t>Contract3</t>
        </is>
      </c>
      <c r="U1" t="inlineStr">
        <is>
          <t>Contract4</t>
        </is>
      </c>
      <c r="W1" t="inlineStr">
        <is>
          <t>Contract5</t>
        </is>
      </c>
      <c r="AK1" t="inlineStr">
        <is>
          <t>Address (KTP/KITAS)</t>
        </is>
      </c>
      <c r="AP1" t="inlineStr">
        <is>
          <t>Address (Domicily)</t>
        </is>
      </c>
      <c r="BB1" t="inlineStr">
        <is>
          <t>Sibling</t>
        </is>
      </c>
      <c r="BH1" t="inlineStr">
        <is>
          <t>Children</t>
        </is>
      </c>
    </row>
    <row r="2">
      <c r="A2" t="inlineStr">
        <is>
          <t>NO</t>
        </is>
      </c>
      <c r="B2" t="inlineStr">
        <is>
          <t>ID</t>
        </is>
      </c>
      <c r="C2" t="inlineStr">
        <is>
          <t>Payroll ID</t>
        </is>
      </c>
      <c r="D2" t="inlineStr">
        <is>
          <t>Name</t>
        </is>
      </c>
      <c r="E2" t="inlineStr">
        <is>
          <t>Level</t>
        </is>
      </c>
      <c r="F2" t="inlineStr">
        <is>
          <t>Department</t>
        </is>
      </c>
      <c r="G2" t="inlineStr">
        <is>
          <t>Section</t>
        </is>
      </c>
      <c r="H2" t="inlineStr">
        <is>
          <t>Position</t>
        </is>
      </c>
      <c r="I2" t="inlineStr">
        <is>
          <t>Status</t>
        </is>
      </c>
      <c r="J2" t="inlineStr">
        <is>
          <t>Plant</t>
        </is>
      </c>
      <c r="K2" t="inlineStr">
        <is>
          <t>Type</t>
        </is>
      </c>
      <c r="L2" t="inlineStr">
        <is>
          <t>Factory
/Office</t>
        </is>
      </c>
      <c r="M2" t="inlineStr">
        <is>
          <t>Joint Date</t>
        </is>
      </c>
      <c r="N2" t="inlineStr">
        <is>
          <t>Years of
Service</t>
        </is>
      </c>
      <c r="O2" t="inlineStr">
        <is>
          <t xml:space="preserve">Start </t>
        </is>
      </c>
      <c r="P2" t="inlineStr">
        <is>
          <t>End</t>
        </is>
      </c>
      <c r="Q2" t="inlineStr">
        <is>
          <t>Start</t>
        </is>
      </c>
      <c r="R2" t="inlineStr">
        <is>
          <t>End</t>
        </is>
      </c>
      <c r="S2" t="inlineStr">
        <is>
          <t>Start</t>
        </is>
      </c>
      <c r="T2" t="inlineStr">
        <is>
          <t>End</t>
        </is>
      </c>
      <c r="U2" t="inlineStr">
        <is>
          <t>Start</t>
        </is>
      </c>
      <c r="V2" t="inlineStr">
        <is>
          <t>End</t>
        </is>
      </c>
      <c r="W2" t="inlineStr">
        <is>
          <t>Start</t>
        </is>
      </c>
      <c r="X2" t="inlineStr">
        <is>
          <t>End</t>
        </is>
      </c>
      <c r="Y2" t="inlineStr">
        <is>
          <t>Remarks</t>
        </is>
      </c>
      <c r="Z2" t="inlineStr">
        <is>
          <t>Date of Resign/Finish</t>
        </is>
      </c>
      <c r="AA2" t="inlineStr">
        <is>
          <t>Remarks</t>
        </is>
      </c>
      <c r="AB2" t="inlineStr">
        <is>
          <t>Education</t>
        </is>
      </c>
      <c r="AC2" t="inlineStr">
        <is>
          <t>Major</t>
        </is>
      </c>
      <c r="AD2" t="inlineStr">
        <is>
          <t>School Name</t>
        </is>
      </c>
      <c r="AE2" t="inlineStr">
        <is>
          <t>Status Kawin</t>
        </is>
      </c>
      <c r="AF2" t="inlineStr">
        <is>
          <t>No. KTP/Passport/KITAS</t>
        </is>
      </c>
      <c r="AG2" t="inlineStr">
        <is>
          <t>Place Of Birth</t>
        </is>
      </c>
      <c r="AH2" t="inlineStr">
        <is>
          <t>Birth Date</t>
        </is>
      </c>
      <c r="AI2" t="inlineStr">
        <is>
          <t>Age</t>
        </is>
      </c>
      <c r="AJ2" t="inlineStr">
        <is>
          <t>Gender</t>
        </is>
      </c>
      <c r="AK2" t="inlineStr">
        <is>
          <t>Address</t>
        </is>
      </c>
      <c r="AL2" t="inlineStr">
        <is>
          <t>Village</t>
        </is>
      </c>
      <c r="AM2" t="inlineStr">
        <is>
          <t>Districh</t>
        </is>
      </c>
      <c r="AN2" t="inlineStr">
        <is>
          <t>City</t>
        </is>
      </c>
      <c r="AO2" t="inlineStr">
        <is>
          <t>Province</t>
        </is>
      </c>
      <c r="AP2" t="inlineStr">
        <is>
          <t>Address</t>
        </is>
      </c>
      <c r="AQ2" t="inlineStr">
        <is>
          <t>Village</t>
        </is>
      </c>
      <c r="AR2" t="inlineStr">
        <is>
          <t>Districh</t>
        </is>
      </c>
      <c r="AS2" t="inlineStr">
        <is>
          <t>City</t>
        </is>
      </c>
      <c r="AT2" t="inlineStr">
        <is>
          <t>Province</t>
        </is>
      </c>
      <c r="AU2" t="inlineStr">
        <is>
          <t>NPWP</t>
        </is>
      </c>
      <c r="AV2" t="inlineStr">
        <is>
          <t>No. Jamsostek</t>
        </is>
      </c>
      <c r="AW2" t="inlineStr">
        <is>
          <t>Account No.</t>
        </is>
      </c>
      <c r="AX2" t="inlineStr">
        <is>
          <t>Phone No.</t>
        </is>
      </c>
      <c r="AY2" t="inlineStr">
        <is>
          <t>Email</t>
        </is>
      </c>
      <c r="AZ2" t="inlineStr">
        <is>
          <t>Name of Mother</t>
        </is>
      </c>
      <c r="BA2" t="inlineStr">
        <is>
          <t>Name of Father</t>
        </is>
      </c>
      <c r="BB2" t="n">
        <v>1</v>
      </c>
      <c r="BC2" t="n">
        <v>2</v>
      </c>
      <c r="BD2" t="n">
        <v>3</v>
      </c>
      <c r="BE2" t="n">
        <v>4</v>
      </c>
      <c r="BF2" t="inlineStr">
        <is>
          <t>Number of
Family Member</t>
        </is>
      </c>
      <c r="BG2" t="inlineStr">
        <is>
          <t>Husband/Wife Name</t>
        </is>
      </c>
      <c r="BH2" t="n">
        <v>1</v>
      </c>
      <c r="BI2" t="n">
        <v>2</v>
      </c>
      <c r="BJ2" t="n">
        <v>3</v>
      </c>
    </row>
    <row r="3">
      <c r="A3">
        <f>ROW()-ROW($A$2)</f>
        <v/>
      </c>
      <c r="B3">
        <f>ROW()-ROW($B$2)</f>
        <v/>
      </c>
      <c r="C3" t="inlineStr">
        <is>
          <t>N-012507139</t>
        </is>
      </c>
      <c r="D3" t="inlineStr">
        <is>
          <t>Sahril Gilang R</t>
        </is>
      </c>
      <c r="E3" t="inlineStr">
        <is>
          <t>T10</t>
        </is>
      </c>
      <c r="F3" t="inlineStr">
        <is>
          <t>Painting</t>
        </is>
      </c>
      <c r="G3" t="inlineStr">
        <is>
          <t>Painting</t>
        </is>
      </c>
      <c r="H3" t="inlineStr">
        <is>
          <t>Operator</t>
        </is>
      </c>
      <c r="I3" t="inlineStr">
        <is>
          <t>T</t>
        </is>
      </c>
      <c r="J3" t="inlineStr">
        <is>
          <t>KIIC</t>
        </is>
      </c>
      <c r="K3" t="inlineStr">
        <is>
          <t>Direct</t>
        </is>
      </c>
      <c r="L3" t="inlineStr">
        <is>
          <t>Factory</t>
        </is>
      </c>
      <c r="M3" s="1" t="n">
        <v>45866</v>
      </c>
      <c r="N3">
        <f>(NOW()-$M3)/365</f>
        <v/>
      </c>
      <c r="O3">
        <f>M3</f>
        <v/>
      </c>
      <c r="P3">
        <f>O3+91</f>
        <v/>
      </c>
      <c r="Q3" s="1" t="n">
        <v>45958</v>
      </c>
      <c r="R3" s="1" t="n">
        <v>46139</v>
      </c>
      <c r="S3" s="1" t="n">
        <v>46140</v>
      </c>
      <c r="T3" s="1" t="n">
        <v>46322</v>
      </c>
      <c r="Y3" t="inlineStr">
        <is>
          <t>New 5J</t>
        </is>
      </c>
      <c r="AJ3" t="inlineStr">
        <is>
          <t>Male</t>
        </is>
      </c>
    </row>
    <row r="4">
      <c r="A4">
        <f>ROW()-ROW($A$2)</f>
        <v/>
      </c>
      <c r="B4">
        <f>ROW()-ROW($B$2)</f>
        <v/>
      </c>
      <c r="C4" t="inlineStr">
        <is>
          <t>N-012507138</t>
        </is>
      </c>
      <c r="D4" t="inlineStr">
        <is>
          <t>Kurniawan Eka Pratama</t>
        </is>
      </c>
      <c r="E4" t="inlineStr">
        <is>
          <t>T10</t>
        </is>
      </c>
      <c r="F4" t="inlineStr">
        <is>
          <t>Painting</t>
        </is>
      </c>
      <c r="G4" t="inlineStr">
        <is>
          <t>Painting</t>
        </is>
      </c>
      <c r="H4" t="inlineStr">
        <is>
          <t>Operator</t>
        </is>
      </c>
      <c r="I4" t="inlineStr">
        <is>
          <t>T</t>
        </is>
      </c>
      <c r="J4" t="inlineStr">
        <is>
          <t>KIIC</t>
        </is>
      </c>
      <c r="K4" t="inlineStr">
        <is>
          <t>Direct</t>
        </is>
      </c>
      <c r="L4" t="inlineStr">
        <is>
          <t>Factory</t>
        </is>
      </c>
      <c r="M4" s="1" t="n">
        <v>45866</v>
      </c>
      <c r="N4">
        <f>(NOW()-$M4)/365</f>
        <v/>
      </c>
      <c r="O4">
        <f>M4</f>
        <v/>
      </c>
      <c r="P4">
        <f>O4+91</f>
        <v/>
      </c>
      <c r="Q4" s="1" t="n">
        <v>45958</v>
      </c>
      <c r="R4" s="1" t="n">
        <v>46139</v>
      </c>
      <c r="S4" s="1" t="n">
        <v>46140</v>
      </c>
      <c r="T4" s="1" t="n">
        <v>46322</v>
      </c>
      <c r="Y4" t="inlineStr">
        <is>
          <t>New 5J</t>
        </is>
      </c>
      <c r="AJ4" t="inlineStr">
        <is>
          <t>Male</t>
        </is>
      </c>
    </row>
    <row r="5">
      <c r="A5">
        <f>ROW()-ROW($A$2)</f>
        <v/>
      </c>
      <c r="B5">
        <f>ROW()-ROW($B$2)</f>
        <v/>
      </c>
      <c r="C5" t="inlineStr">
        <is>
          <t>N-012509188</t>
        </is>
      </c>
      <c r="D5" t="inlineStr">
        <is>
          <t>Muhamad Yunus</t>
        </is>
      </c>
      <c r="E5" t="inlineStr">
        <is>
          <t>T10</t>
        </is>
      </c>
      <c r="F5" t="inlineStr">
        <is>
          <t>Painting</t>
        </is>
      </c>
      <c r="G5" t="inlineStr">
        <is>
          <t>Painting</t>
        </is>
      </c>
      <c r="H5" t="inlineStr">
        <is>
          <t>Operator</t>
        </is>
      </c>
      <c r="I5" t="inlineStr">
        <is>
          <t>T</t>
        </is>
      </c>
      <c r="J5" t="inlineStr">
        <is>
          <t>KIIC</t>
        </is>
      </c>
      <c r="K5" t="inlineStr">
        <is>
          <t>Direct</t>
        </is>
      </c>
      <c r="L5" t="inlineStr">
        <is>
          <t>Factory</t>
        </is>
      </c>
      <c r="M5" s="1" t="n">
        <v>45939</v>
      </c>
      <c r="N5">
        <f>(NOW()-$M5)/365</f>
        <v/>
      </c>
      <c r="O5">
        <f>M5</f>
        <v/>
      </c>
      <c r="P5">
        <f>O5+91</f>
        <v/>
      </c>
      <c r="Q5" s="1" t="n">
        <v>46031</v>
      </c>
      <c r="R5" s="1" t="n">
        <v>46211</v>
      </c>
      <c r="S5" s="1" t="n">
        <v>46212</v>
      </c>
      <c r="T5" s="1" t="n">
        <v>46364</v>
      </c>
      <c r="Y5" t="inlineStr">
        <is>
          <t>New</t>
        </is>
      </c>
      <c r="AJ5" t="inlineStr">
        <is>
          <t>Male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5"/>
  <sheetViews>
    <sheetView workbookViewId="0">
      <selection activeCell="A1" sqref="A1"/>
    </sheetView>
  </sheetViews>
  <sheetFormatPr baseColWidth="8" defaultRowHeight="15"/>
  <sheetData>
    <row r="1">
      <c r="O1" t="inlineStr">
        <is>
          <t>Contract1</t>
        </is>
      </c>
      <c r="Q1" t="inlineStr">
        <is>
          <t>Contract2</t>
        </is>
      </c>
      <c r="S1" t="inlineStr">
        <is>
          <t>Contract3</t>
        </is>
      </c>
      <c r="U1" t="inlineStr">
        <is>
          <t>Contract4</t>
        </is>
      </c>
      <c r="W1" t="inlineStr">
        <is>
          <t>Contract5</t>
        </is>
      </c>
      <c r="Y1" t="inlineStr">
        <is>
          <t>Contract6</t>
        </is>
      </c>
      <c r="AA1" t="inlineStr">
        <is>
          <t>Contract7</t>
        </is>
      </c>
      <c r="AC1" t="inlineStr">
        <is>
          <t>Contract8</t>
        </is>
      </c>
      <c r="AQ1" t="inlineStr">
        <is>
          <t>Address (KTP/KITAS)</t>
        </is>
      </c>
      <c r="AT1" t="inlineStr">
        <is>
          <t>Address (Domicily)</t>
        </is>
      </c>
      <c r="BD1" t="inlineStr">
        <is>
          <t>Sibling</t>
        </is>
      </c>
      <c r="BJ1" t="inlineStr">
        <is>
          <t>Children</t>
        </is>
      </c>
    </row>
    <row r="2">
      <c r="A2" t="inlineStr">
        <is>
          <t>NO</t>
        </is>
      </c>
      <c r="B2" t="inlineStr">
        <is>
          <t>ID</t>
        </is>
      </c>
      <c r="C2" t="inlineStr">
        <is>
          <t>Payroll ID</t>
        </is>
      </c>
      <c r="D2" t="inlineStr">
        <is>
          <t>Name</t>
        </is>
      </c>
      <c r="E2" t="inlineStr">
        <is>
          <t>Level</t>
        </is>
      </c>
      <c r="F2" t="inlineStr">
        <is>
          <t>Department</t>
        </is>
      </c>
      <c r="G2" t="inlineStr">
        <is>
          <t>Section</t>
        </is>
      </c>
      <c r="H2" t="inlineStr">
        <is>
          <t>Position</t>
        </is>
      </c>
      <c r="I2" t="inlineStr">
        <is>
          <t>Status</t>
        </is>
      </c>
      <c r="J2" t="inlineStr">
        <is>
          <t>Plant</t>
        </is>
      </c>
      <c r="K2" t="inlineStr">
        <is>
          <t>Type</t>
        </is>
      </c>
      <c r="L2" t="inlineStr">
        <is>
          <t>Factory
/Office</t>
        </is>
      </c>
      <c r="M2" t="inlineStr">
        <is>
          <t>Joint Date</t>
        </is>
      </c>
      <c r="N2" t="inlineStr">
        <is>
          <t>Years of
Service</t>
        </is>
      </c>
      <c r="O2" t="inlineStr">
        <is>
          <t xml:space="preserve">Start </t>
        </is>
      </c>
      <c r="P2" t="inlineStr">
        <is>
          <t>End</t>
        </is>
      </c>
      <c r="Q2" t="inlineStr">
        <is>
          <t>Start</t>
        </is>
      </c>
      <c r="R2" t="inlineStr">
        <is>
          <t>End</t>
        </is>
      </c>
      <c r="S2" t="inlineStr">
        <is>
          <t>Start</t>
        </is>
      </c>
      <c r="T2" t="inlineStr">
        <is>
          <t>End</t>
        </is>
      </c>
      <c r="U2" t="inlineStr">
        <is>
          <t>Start</t>
        </is>
      </c>
      <c r="V2" t="inlineStr">
        <is>
          <t>End</t>
        </is>
      </c>
      <c r="W2" t="inlineStr">
        <is>
          <t>Start</t>
        </is>
      </c>
      <c r="X2" t="inlineStr">
        <is>
          <t>End</t>
        </is>
      </c>
      <c r="Y2" t="inlineStr">
        <is>
          <t>Start</t>
        </is>
      </c>
      <c r="Z2" t="inlineStr">
        <is>
          <t>End</t>
        </is>
      </c>
      <c r="AA2" t="inlineStr">
        <is>
          <t>Start</t>
        </is>
      </c>
      <c r="AB2" t="inlineStr">
        <is>
          <t>End</t>
        </is>
      </c>
      <c r="AC2" t="inlineStr">
        <is>
          <t>Start</t>
        </is>
      </c>
      <c r="AD2" t="inlineStr">
        <is>
          <t>End</t>
        </is>
      </c>
      <c r="AE2" t="inlineStr">
        <is>
          <t>Remarks</t>
        </is>
      </c>
      <c r="AF2" t="inlineStr">
        <is>
          <t>Date of Resign/Finish</t>
        </is>
      </c>
      <c r="AG2" t="inlineStr">
        <is>
          <t>Remarks</t>
        </is>
      </c>
      <c r="AH2" t="inlineStr">
        <is>
          <t>Education</t>
        </is>
      </c>
      <c r="AI2" t="inlineStr">
        <is>
          <t>Major</t>
        </is>
      </c>
      <c r="AJ2" t="inlineStr">
        <is>
          <t>School Name</t>
        </is>
      </c>
      <c r="AK2" t="inlineStr">
        <is>
          <t>Status Kawin</t>
        </is>
      </c>
      <c r="AL2" t="inlineStr">
        <is>
          <t>No. KTP/Passport/KITAS</t>
        </is>
      </c>
      <c r="AM2" t="inlineStr">
        <is>
          <t>Place Of Birth</t>
        </is>
      </c>
      <c r="AN2" t="inlineStr">
        <is>
          <t>Birth Date</t>
        </is>
      </c>
      <c r="AO2" t="inlineStr">
        <is>
          <t>Age</t>
        </is>
      </c>
      <c r="AP2" t="inlineStr">
        <is>
          <t>Gender</t>
        </is>
      </c>
      <c r="AQ2" t="inlineStr">
        <is>
          <t>Address</t>
        </is>
      </c>
      <c r="AR2" t="inlineStr">
        <is>
          <t>City</t>
        </is>
      </c>
      <c r="AS2" t="inlineStr">
        <is>
          <t>Province</t>
        </is>
      </c>
      <c r="AT2" t="inlineStr">
        <is>
          <t>Address</t>
        </is>
      </c>
      <c r="AU2" t="inlineStr">
        <is>
          <t>City</t>
        </is>
      </c>
      <c r="AV2" t="inlineStr">
        <is>
          <t>Province</t>
        </is>
      </c>
      <c r="AW2" t="inlineStr">
        <is>
          <t>NPWP</t>
        </is>
      </c>
      <c r="AX2" t="inlineStr">
        <is>
          <t>No. Jamsostek</t>
        </is>
      </c>
      <c r="AY2" t="inlineStr">
        <is>
          <t>Account No.</t>
        </is>
      </c>
      <c r="AZ2" t="inlineStr">
        <is>
          <t>Phone No.</t>
        </is>
      </c>
      <c r="BA2" t="inlineStr">
        <is>
          <t>Email</t>
        </is>
      </c>
      <c r="BB2" t="inlineStr">
        <is>
          <t>Name of Mother</t>
        </is>
      </c>
      <c r="BC2" t="inlineStr">
        <is>
          <t>Name of Father</t>
        </is>
      </c>
      <c r="BD2" t="n">
        <v>1</v>
      </c>
      <c r="BE2" t="n">
        <v>2</v>
      </c>
      <c r="BF2" t="n">
        <v>3</v>
      </c>
      <c r="BG2" t="n">
        <v>4</v>
      </c>
      <c r="BH2" t="inlineStr">
        <is>
          <t>Number of
Family Member</t>
        </is>
      </c>
      <c r="BI2" t="inlineStr">
        <is>
          <t>Husband/Wife Name</t>
        </is>
      </c>
      <c r="BJ2" t="n">
        <v>1</v>
      </c>
      <c r="BK2" t="n">
        <v>2</v>
      </c>
      <c r="BL2" t="n">
        <v>3</v>
      </c>
    </row>
    <row r="3">
      <c r="A3">
        <f>ROW()-ROW($A$2)</f>
        <v/>
      </c>
      <c r="B3" t="inlineStr">
        <is>
          <t>004.02.16</t>
        </is>
      </c>
      <c r="C3" t="inlineStr">
        <is>
          <t>ITSP.004.02.16</t>
        </is>
      </c>
      <c r="D3" t="inlineStr">
        <is>
          <t>Wuddhikrai Supinta</t>
        </is>
      </c>
      <c r="E3" t="inlineStr">
        <is>
          <t>TSP</t>
        </is>
      </c>
      <c r="F3" t="inlineStr">
        <is>
          <t>Thai Manager</t>
        </is>
      </c>
      <c r="G3" t="inlineStr">
        <is>
          <t>Maintenance</t>
        </is>
      </c>
      <c r="H3" t="inlineStr">
        <is>
          <t>Manager</t>
        </is>
      </c>
      <c r="I3" t="inlineStr">
        <is>
          <t>TSP</t>
        </is>
      </c>
      <c r="J3" t="inlineStr">
        <is>
          <t>KIIC</t>
        </is>
      </c>
      <c r="K3" t="inlineStr">
        <is>
          <t>Thai Manager</t>
        </is>
      </c>
      <c r="L3" t="inlineStr">
        <is>
          <t>Factory</t>
        </is>
      </c>
      <c r="M3" s="1" t="n">
        <v>42417</v>
      </c>
      <c r="N3">
        <f>(NOW()-$M3)/365</f>
        <v/>
      </c>
      <c r="AE3" t="n">
        <v>0</v>
      </c>
      <c r="AF3" t="inlineStr">
        <is>
          <t>-</t>
        </is>
      </c>
      <c r="AG3" t="inlineStr">
        <is>
          <t>-</t>
        </is>
      </c>
      <c r="AH3" t="inlineStr">
        <is>
          <t>S1</t>
        </is>
      </c>
      <c r="AI3" t="n">
        <v>0</v>
      </c>
      <c r="AJ3" t="n">
        <v>0</v>
      </c>
      <c r="AK3" t="inlineStr">
        <is>
          <t>TK</t>
        </is>
      </c>
      <c r="AL3" t="n">
        <v>0</v>
      </c>
      <c r="AM3" t="inlineStr">
        <is>
          <t>Lampang</t>
        </is>
      </c>
      <c r="AN3" s="1" t="n">
        <v>23401</v>
      </c>
      <c r="AO3">
        <f>(NOW()-$AN3)/365</f>
        <v/>
      </c>
      <c r="AP3" t="inlineStr">
        <is>
          <t>Male</t>
        </is>
      </c>
      <c r="AQ3" t="inlineStr">
        <is>
          <t xml:space="preserve">Lippo Cikarang Jl. Pasuruan No. 32 Kel. Cibatu Kec. Cikarang Selatan Kab. Bekasi
</t>
        </is>
      </c>
      <c r="AT3" t="inlineStr">
        <is>
          <t xml:space="preserve">Lippo Cikarang Jl. Pasuruan No. 32 Kel. Cibatu Kec. Cikarang Selatan Kab. Bekasi
</t>
        </is>
      </c>
      <c r="AW3" t="inlineStr">
        <is>
          <t>769881418413000</t>
        </is>
      </c>
      <c r="AX3" t="n">
        <v>0</v>
      </c>
      <c r="AY3" t="inlineStr">
        <is>
          <t>0442601645</t>
        </is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</row>
    <row r="4">
      <c r="A4">
        <f>ROW()-ROW($A$2)</f>
        <v/>
      </c>
      <c r="B4" t="inlineStr">
        <is>
          <t>007.03.16</t>
        </is>
      </c>
      <c r="C4" t="inlineStr">
        <is>
          <t>ITSP.007.03.16</t>
        </is>
      </c>
      <c r="D4" t="inlineStr">
        <is>
          <t>Agus Waryono</t>
        </is>
      </c>
      <c r="E4" t="inlineStr">
        <is>
          <t>M2</t>
        </is>
      </c>
      <c r="F4" t="inlineStr">
        <is>
          <t>HQ Office</t>
        </is>
      </c>
      <c r="G4" t="inlineStr">
        <is>
          <t>Production</t>
        </is>
      </c>
      <c r="H4" t="inlineStr">
        <is>
          <t>Assistant Manager</t>
        </is>
      </c>
      <c r="I4" t="inlineStr">
        <is>
          <t>P</t>
        </is>
      </c>
      <c r="J4" t="inlineStr">
        <is>
          <t>GIIC</t>
        </is>
      </c>
      <c r="K4" t="inlineStr">
        <is>
          <t>Admin</t>
        </is>
      </c>
      <c r="L4" t="inlineStr">
        <is>
          <t>Factory</t>
        </is>
      </c>
      <c r="M4" s="1" t="n">
        <v>41065</v>
      </c>
      <c r="N4">
        <f>(NOW()-$M4)/365</f>
        <v/>
      </c>
      <c r="AE4" t="n">
        <v>0</v>
      </c>
      <c r="AF4" t="inlineStr">
        <is>
          <t>-</t>
        </is>
      </c>
      <c r="AG4" t="inlineStr">
        <is>
          <t>-</t>
        </is>
      </c>
      <c r="AH4" t="inlineStr">
        <is>
          <t>S1</t>
        </is>
      </c>
      <c r="AI4" t="inlineStr">
        <is>
          <t>Teknik Industri</t>
        </is>
      </c>
      <c r="AJ4" t="inlineStr">
        <is>
          <t>Univ Persada Ind YAI</t>
        </is>
      </c>
      <c r="AK4" t="inlineStr">
        <is>
          <t>K/3</t>
        </is>
      </c>
      <c r="AL4" t="inlineStr">
        <is>
          <t>3175030608780003</t>
        </is>
      </c>
      <c r="AM4" t="inlineStr">
        <is>
          <t>Jakarta</t>
        </is>
      </c>
      <c r="AN4" s="1" t="n">
        <v>28708</v>
      </c>
      <c r="AO4">
        <f>(NOW()-$AN4)/365</f>
        <v/>
      </c>
      <c r="AP4" t="inlineStr">
        <is>
          <t>Male</t>
        </is>
      </c>
      <c r="AQ4" t="inlineStr">
        <is>
          <t>CIPINANG MUARA RT/RW 004/001 KEL. CIPINANG MUARA KEC. JATINEGARA JAKARTA TIMUR</t>
        </is>
      </c>
      <c r="AT4" t="inlineStr">
        <is>
          <t>Cikarang</t>
        </is>
      </c>
      <c r="AW4" t="inlineStr">
        <is>
          <t>585238496002000</t>
        </is>
      </c>
      <c r="AX4" t="inlineStr">
        <is>
          <t>16010747778</t>
        </is>
      </c>
      <c r="AY4" t="inlineStr">
        <is>
          <t>0432039414</t>
        </is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3</v>
      </c>
      <c r="BI4" t="n">
        <v>0</v>
      </c>
      <c r="BJ4" t="n">
        <v>0</v>
      </c>
      <c r="BK4" t="n">
        <v>0</v>
      </c>
      <c r="BL4" t="n">
        <v>0</v>
      </c>
    </row>
    <row r="5">
      <c r="A5">
        <f>ROW()-ROW($A$2)</f>
        <v/>
      </c>
      <c r="B5" t="inlineStr">
        <is>
          <t>010.08.16</t>
        </is>
      </c>
      <c r="C5" t="inlineStr">
        <is>
          <t>ITSP.010.08.16</t>
        </is>
      </c>
      <c r="D5" t="inlineStr">
        <is>
          <t>Yoppy Darmawan</t>
        </is>
      </c>
      <c r="E5" t="inlineStr">
        <is>
          <t>T1</t>
        </is>
      </c>
      <c r="F5" t="inlineStr">
        <is>
          <t>Rack</t>
        </is>
      </c>
      <c r="G5" t="inlineStr">
        <is>
          <t>Rack</t>
        </is>
      </c>
      <c r="H5" t="inlineStr">
        <is>
          <t>Leader</t>
        </is>
      </c>
      <c r="I5" t="inlineStr">
        <is>
          <t>P</t>
        </is>
      </c>
      <c r="J5" t="inlineStr">
        <is>
          <t>GIIC</t>
        </is>
      </c>
      <c r="K5" t="inlineStr">
        <is>
          <t>Indirect</t>
        </is>
      </c>
      <c r="L5" t="inlineStr">
        <is>
          <t>Factory</t>
        </is>
      </c>
      <c r="M5" s="1" t="n">
        <v>42611</v>
      </c>
      <c r="N5">
        <f>(NOW()-$M5)/365</f>
        <v/>
      </c>
      <c r="O5" s="1" t="n">
        <v>42611</v>
      </c>
      <c r="P5" s="1" t="n">
        <v>42702</v>
      </c>
      <c r="AE5" t="n">
        <v>0</v>
      </c>
      <c r="AF5" t="inlineStr">
        <is>
          <t>-</t>
        </is>
      </c>
      <c r="AG5" t="inlineStr">
        <is>
          <t>-</t>
        </is>
      </c>
      <c r="AH5" t="inlineStr">
        <is>
          <t>D3</t>
        </is>
      </c>
      <c r="AI5" t="inlineStr">
        <is>
          <t>Informatics Management</t>
        </is>
      </c>
      <c r="AJ5" t="inlineStr">
        <is>
          <t>STTIS Sony Sugema</t>
        </is>
      </c>
      <c r="AK5" t="inlineStr">
        <is>
          <t>K/1</t>
        </is>
      </c>
      <c r="AL5" t="inlineStr">
        <is>
          <t>3216071402920006</t>
        </is>
      </c>
      <c r="AM5" t="inlineStr">
        <is>
          <t>Bogor</t>
        </is>
      </c>
      <c r="AN5" s="1" t="n">
        <v>33648</v>
      </c>
      <c r="AO5">
        <f>(NOW()-$AN5)/365</f>
        <v/>
      </c>
      <c r="AP5" t="inlineStr">
        <is>
          <t>Male</t>
        </is>
      </c>
      <c r="AQ5" t="inlineStr">
        <is>
          <t>Perum. Puri Cikarang Hijau Blok E2 No. 35 Rt/Rw 004/010 Kel. Karang Asih Kec. Cikarang Utara Kab. Bekasi</t>
        </is>
      </c>
      <c r="AT5" t="inlineStr">
        <is>
          <t>Perum. Puri Cikarang Hijau Blok E2 No. 35 Rt/Rw 004/010 Kel. Karang Asih Kec. Cikarang Utara Kab. Bekasi</t>
        </is>
      </c>
      <c r="AW5" t="inlineStr">
        <is>
          <t>459762050414000</t>
        </is>
      </c>
      <c r="AX5" t="inlineStr">
        <is>
          <t>16041347911</t>
        </is>
      </c>
      <c r="AY5" t="inlineStr">
        <is>
          <t>0460551260</t>
        </is>
      </c>
      <c r="AZ5" t="inlineStr">
        <is>
          <t>08888501770/089661466312</t>
        </is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1</v>
      </c>
      <c r="BI5" t="n">
        <v>0</v>
      </c>
      <c r="BJ5" t="n">
        <v>0</v>
      </c>
      <c r="BK5" t="n">
        <v>0</v>
      </c>
      <c r="B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2026-10-01T07:55:13Z</dcterms:created>
  <dcterms:modified xsi:type="dcterms:W3CDTF">2026-10-01T07:55:13Z</dcterms:modified>
</cp:coreProperties>
</file>